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ONTES_CURVA" sheetId="3" state="visible" r:id="rId3"/>
    <sheet xmlns:r="http://schemas.openxmlformats.org/officeDocument/2006/relationships" name="POSICAO" sheetId="4" state="visible" r:id="rId4"/>
    <sheet xmlns:r="http://schemas.openxmlformats.org/officeDocument/2006/relationships" name="CENARIOS_PNL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MARGEM_NPV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Energy Trading Copilot — modelo da Entrega 2</t>
        </is>
      </c>
    </row>
    <row r="3">
      <c r="A3" t="inlineStr">
        <is>
          <t>Amarelo = INPUT (editavel). Azul = FORMULA (nao sobrescrever).</t>
        </is>
      </c>
    </row>
    <row r="4">
      <c r="A4" t="inlineStr">
        <is>
          <t>Todas as celulas de calculo sao formulas vivas. Nenhum valor foi colado.</t>
        </is>
      </c>
    </row>
    <row r="6">
      <c r="A6" t="inlineStr">
        <is>
          <t>Aba</t>
        </is>
      </c>
      <c r="B6" t="inlineStr">
        <is>
          <t>Conteudo</t>
        </is>
      </c>
    </row>
    <row r="7">
      <c r="A7" t="inlineStr">
        <is>
          <t>INPUTS</t>
        </is>
      </c>
      <c r="B7" t="inlineStr">
        <is>
          <t>Premissas, volume, precos, taxa de desconto e data-base</t>
        </is>
      </c>
    </row>
    <row r="8">
      <c r="A8" t="inlineStr">
        <is>
          <t>FONTES_CURVA</t>
        </is>
      </c>
      <c r="B8" t="inlineStr">
        <is>
          <t>Origem de cada preco, classificacao e evidence_id</t>
        </is>
      </c>
    </row>
    <row r="9">
      <c r="A9" t="inlineStr">
        <is>
          <t>POSICAO</t>
        </is>
      </c>
      <c r="B9" t="inlineStr">
        <is>
          <t>Dimensionamento: MWmed, horas, MWh, notional</t>
        </is>
      </c>
    </row>
    <row r="10">
      <c r="A10" t="inlineStr">
        <is>
          <t>CENARIOS_PNL</t>
        </is>
      </c>
      <c r="B10" t="inlineStr">
        <is>
          <t>P&amp;L por cenario hidrologico</t>
        </is>
      </c>
    </row>
    <row r="11">
      <c r="A11" t="inlineStr">
        <is>
          <t>VAR</t>
        </is>
      </c>
      <c r="B11" t="inlineStr">
        <is>
          <t>VaR, add-ons, VaR total e consumo do limite</t>
        </is>
      </c>
    </row>
    <row r="12">
      <c r="A12" t="inlineStr">
        <is>
          <t>MARGEM_NPV</t>
        </is>
      </c>
      <c r="B12" t="inlineStr">
        <is>
          <t>Resultado descontado ate 31/12</t>
        </is>
      </c>
    </row>
    <row r="13">
      <c r="A13" t="inlineStr">
        <is>
          <t>CHECKS</t>
        </is>
      </c>
      <c r="B13" t="inlineStr">
        <is>
          <t>Validacoes de consistencia</t>
        </is>
      </c>
    </row>
    <row r="15">
      <c r="A15" t="inlineStr">
        <is>
          <t>ATENCAO: preencher com dados reais da data-base antes de entregar.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2" customWidth="1" min="4" max="4"/>
    <col width="13" customWidth="1" min="5" max="5"/>
    <col width="15" customWidth="1" min="6" max="6"/>
  </cols>
  <sheetData>
    <row r="1">
      <c r="A1" s="2" t="inlineStr">
        <is>
          <t>Parametro</t>
        </is>
      </c>
      <c r="B1" s="2" t="inlineStr">
        <is>
          <t>Valor</t>
        </is>
      </c>
      <c r="C1" s="2" t="inlineStr">
        <is>
          <t>Unidade</t>
        </is>
      </c>
      <c r="D1" s="2" t="inlineStr">
        <is>
          <t>Fonte</t>
        </is>
      </c>
      <c r="E1" s="2" t="inlineStr">
        <is>
          <t>Data-base</t>
        </is>
      </c>
      <c r="F1" s="2" t="inlineStr">
        <is>
          <t>Classificacao</t>
        </is>
      </c>
    </row>
    <row r="2">
      <c r="A2" t="inlineStr">
        <is>
          <t>Volume</t>
        </is>
      </c>
      <c r="B2" s="3" t="n">
        <v>50</v>
      </c>
      <c r="C2" t="inlineStr">
        <is>
          <t>MWmed</t>
        </is>
      </c>
      <c r="D2" t="inlineStr">
        <is>
          <t>Decisao da mesa</t>
        </is>
      </c>
      <c r="E2" t="inlineStr">
        <is>
          <t>2026-08-14</t>
        </is>
      </c>
      <c r="F2" t="inlineStr">
        <is>
          <t>manual</t>
        </is>
      </c>
    </row>
    <row r="3">
      <c r="A3" t="inlineStr">
        <is>
          <t>Preco de entrada</t>
        </is>
      </c>
      <c r="B3" s="3" t="n">
        <v>195</v>
      </c>
      <c r="C3" t="inlineStr">
        <is>
          <t>R$/MWh</t>
        </is>
      </c>
      <c r="D3" t="inlineStr">
        <is>
          <t>PREENCHER</t>
        </is>
      </c>
      <c r="E3" t="inlineStr">
        <is>
          <t>2026-08-14</t>
        </is>
      </c>
      <c r="F3" t="inlineStr">
        <is>
          <t>PREENCHER</t>
        </is>
      </c>
    </row>
    <row r="4">
      <c r="A4" t="inlineStr">
        <is>
          <t>Preco de mercado</t>
        </is>
      </c>
      <c r="B4" s="3" t="n">
        <v>205</v>
      </c>
      <c r="C4" t="inlineStr">
        <is>
          <t>R$/MWh</t>
        </is>
      </c>
      <c r="D4" t="inlineStr">
        <is>
          <t>PREENCHER</t>
        </is>
      </c>
      <c r="E4" t="inlineStr">
        <is>
          <t>2026-08-14</t>
        </is>
      </c>
      <c r="F4" t="inlineStr">
        <is>
          <t>PREENCHER</t>
        </is>
      </c>
    </row>
    <row r="5">
      <c r="A5" t="inlineStr">
        <is>
          <t>Lado (1=comprado, -1=vendido)</t>
        </is>
      </c>
      <c r="B5" s="3" t="n">
        <v>-1</v>
      </c>
      <c r="C5" t="inlineStr">
        <is>
          <t>sinal</t>
        </is>
      </c>
      <c r="D5" t="inlineStr">
        <is>
          <t>Decisao da mesa</t>
        </is>
      </c>
      <c r="E5" t="inlineStr">
        <is>
          <t>2026-08-14</t>
        </is>
      </c>
      <c r="F5" t="inlineStr">
        <is>
          <t>manual</t>
        </is>
      </c>
    </row>
    <row r="6">
      <c r="A6" t="inlineStr">
        <is>
          <t>Inicio da entrega</t>
        </is>
      </c>
      <c r="B6" s="3" t="inlineStr">
        <is>
          <t>2027-01-01</t>
        </is>
      </c>
      <c r="C6" t="inlineStr">
        <is>
          <t>data</t>
        </is>
      </c>
      <c r="D6" t="inlineStr">
        <is>
          <t>Decisao da mesa</t>
        </is>
      </c>
      <c r="E6" t="inlineStr">
        <is>
          <t>2026-08-14</t>
        </is>
      </c>
      <c r="F6" t="inlineStr">
        <is>
          <t>manual</t>
        </is>
      </c>
    </row>
    <row r="7">
      <c r="A7" t="inlineStr">
        <is>
          <t>Fim da entrega</t>
        </is>
      </c>
      <c r="B7" s="3" t="inlineStr">
        <is>
          <t>2027-12-31</t>
        </is>
      </c>
      <c r="C7" t="inlineStr">
        <is>
          <t>data</t>
        </is>
      </c>
      <c r="D7" t="inlineStr">
        <is>
          <t>Decisao da mesa</t>
        </is>
      </c>
      <c r="E7" t="inlineStr">
        <is>
          <t>2026-08-14</t>
        </is>
      </c>
      <c r="F7" t="inlineStr">
        <is>
          <t>manual</t>
        </is>
      </c>
    </row>
    <row r="8">
      <c r="A8" t="inlineStr">
        <is>
          <t>Volatilidade diaria</t>
        </is>
      </c>
      <c r="B8" s="3" t="n">
        <v>0.018</v>
      </c>
      <c r="C8" t="inlineStr">
        <is>
          <t>fracao</t>
        </is>
      </c>
      <c r="D8" t="inlineStr">
        <is>
          <t>Motor quant</t>
        </is>
      </c>
      <c r="E8" t="inlineStr">
        <is>
          <t>2026-08-14</t>
        </is>
      </c>
      <c r="F8" t="inlineStr">
        <is>
          <t>projetado</t>
        </is>
      </c>
    </row>
    <row r="9">
      <c r="A9" t="inlineStr">
        <is>
          <t>Confianca do VaR</t>
        </is>
      </c>
      <c r="B9" s="3" t="n">
        <v>0.95</v>
      </c>
      <c r="C9" t="inlineStr">
        <is>
          <t>fracao</t>
        </is>
      </c>
      <c r="D9" t="inlineStr">
        <is>
          <t>Premissa PR-03</t>
        </is>
      </c>
      <c r="E9" t="inlineStr">
        <is>
          <t>2026-08-14</t>
        </is>
      </c>
      <c r="F9" t="inlineStr">
        <is>
          <t>manual</t>
        </is>
      </c>
    </row>
    <row r="10">
      <c r="A10" t="inlineStr">
        <is>
          <t>Horizonte do VaR</t>
        </is>
      </c>
      <c r="B10" s="3" t="n">
        <v>21</v>
      </c>
      <c r="C10" t="inlineStr">
        <is>
          <t>dias uteis</t>
        </is>
      </c>
      <c r="D10" t="inlineStr">
        <is>
          <t>Premissa PR-03</t>
        </is>
      </c>
      <c r="E10" t="inlineStr">
        <is>
          <t>2026-08-14</t>
        </is>
      </c>
      <c r="F10" t="inlineStr">
        <is>
          <t>manual</t>
        </is>
      </c>
    </row>
    <row r="11">
      <c r="A11" t="inlineStr">
        <is>
          <t>Limite de VaR</t>
        </is>
      </c>
      <c r="B11" s="3" t="n">
        <v>50000000</v>
      </c>
      <c r="C11" t="inlineStr">
        <is>
          <t>R$</t>
        </is>
      </c>
      <c r="D11" t="inlineStr">
        <is>
          <t>Case</t>
        </is>
      </c>
      <c r="E11" t="inlineStr">
        <is>
          <t>2026-08-14</t>
        </is>
      </c>
      <c r="F11" t="inlineStr">
        <is>
          <t>manual</t>
        </is>
      </c>
    </row>
    <row r="12">
      <c r="A12" t="inlineStr">
        <is>
          <t>Taxa de desconto</t>
        </is>
      </c>
      <c r="B12" s="3" t="n">
        <v>0.1</v>
      </c>
      <c r="C12" t="inlineStr">
        <is>
          <t>a.a.</t>
        </is>
      </c>
      <c r="D12" t="inlineStr">
        <is>
          <t>Premissa da mesa</t>
        </is>
      </c>
      <c r="E12" t="inlineStr">
        <is>
          <t>2026-08-14</t>
        </is>
      </c>
      <c r="F12" t="inlineStr">
        <is>
          <t>manual</t>
        </is>
      </c>
    </row>
    <row r="13">
      <c r="A13" t="inlineStr">
        <is>
          <t>Add-on de proxy</t>
        </is>
      </c>
      <c r="B13" s="3" t="n">
        <v>0</v>
      </c>
      <c r="C13" t="inlineStr">
        <is>
          <t>fracao</t>
        </is>
      </c>
      <c r="D13" t="inlineStr">
        <is>
          <t>quant/addons.py</t>
        </is>
      </c>
      <c r="E13" t="inlineStr">
        <is>
          <t>2026-08-14</t>
        </is>
      </c>
      <c r="F13" t="inlineStr">
        <is>
          <t>manual</t>
        </is>
      </c>
    </row>
    <row r="14">
      <c r="A14" t="inlineStr">
        <is>
          <t>Add-on de risco de modelo</t>
        </is>
      </c>
      <c r="B14" s="3" t="n">
        <v>0.1</v>
      </c>
      <c r="C14" t="inlineStr">
        <is>
          <t>fracao</t>
        </is>
      </c>
      <c r="D14" t="inlineStr">
        <is>
          <t>quant/addons.py</t>
        </is>
      </c>
      <c r="E14" t="inlineStr">
        <is>
          <t>2026-08-14</t>
        </is>
      </c>
      <c r="F14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14" customWidth="1" min="7" max="7"/>
    <col width="18" customWidth="1" min="8" max="8"/>
    <col width="12" customWidth="1" min="9" max="9"/>
    <col width="28" customWidth="1" min="10" max="10"/>
  </cols>
  <sheetData>
    <row r="1">
      <c r="A1" s="2" t="inlineStr">
        <is>
          <t>Tenor</t>
        </is>
      </c>
      <c r="B1" s="2" t="inlineStr">
        <is>
          <t>Inicio</t>
        </is>
      </c>
      <c r="C1" s="2" t="inlineStr">
        <is>
          <t>Fim</t>
        </is>
      </c>
      <c r="D1" s="2" t="inlineStr">
        <is>
          <t>Preco</t>
        </is>
      </c>
      <c r="E1" s="2" t="inlineStr">
        <is>
          <t>Unidade</t>
        </is>
      </c>
      <c r="F1" s="2" t="inlineStr">
        <is>
          <t>Tipo de cotacao</t>
        </is>
      </c>
      <c r="G1" s="2" t="inlineStr">
        <is>
          <t>Origem</t>
        </is>
      </c>
      <c r="H1" s="2" t="inlineStr">
        <is>
          <t>Fonte</t>
        </is>
      </c>
      <c r="I1" s="2" t="inlineStr">
        <is>
          <t>Data-base</t>
        </is>
      </c>
      <c r="J1" s="2" t="inlineStr">
        <is>
          <t>evidence_id</t>
        </is>
      </c>
    </row>
    <row r="2">
      <c r="A2" t="inlineStr">
        <is>
          <t>A+1</t>
        </is>
      </c>
      <c r="B2" s="3" t="inlineStr">
        <is>
          <t>PREENCHER</t>
        </is>
      </c>
      <c r="C2" s="3" t="inlineStr">
        <is>
          <t>PREENCHER</t>
        </is>
      </c>
      <c r="D2" s="3" t="inlineStr">
        <is>
          <t>PREENCHER</t>
        </is>
      </c>
      <c r="E2" s="3" t="inlineStr">
        <is>
          <t>PREENCHER</t>
        </is>
      </c>
      <c r="F2" s="3" t="inlineStr">
        <is>
          <t>PREENCHER</t>
        </is>
      </c>
      <c r="G2" s="3" t="inlineStr">
        <is>
          <t>PREENCHER</t>
        </is>
      </c>
      <c r="H2" s="3" t="inlineStr">
        <is>
          <t>PREENCHER</t>
        </is>
      </c>
      <c r="I2" s="3" t="inlineStr">
        <is>
          <t>PREENCHER</t>
        </is>
      </c>
      <c r="J2" s="3" t="inlineStr">
        <is>
          <t>PREENCHER</t>
        </is>
      </c>
    </row>
    <row r="3">
      <c r="A3" t="inlineStr">
        <is>
          <t>A+2</t>
        </is>
      </c>
      <c r="B3" s="3" t="inlineStr">
        <is>
          <t>PREENCHER</t>
        </is>
      </c>
      <c r="C3" s="3" t="inlineStr">
        <is>
          <t>PREENCHER</t>
        </is>
      </c>
      <c r="D3" s="3" t="inlineStr">
        <is>
          <t>PREENCHER</t>
        </is>
      </c>
      <c r="E3" s="3" t="inlineStr">
        <is>
          <t>PREENCHER</t>
        </is>
      </c>
      <c r="F3" s="3" t="inlineStr">
        <is>
          <t>PREENCHER</t>
        </is>
      </c>
      <c r="G3" s="3" t="inlineStr">
        <is>
          <t>PREENCHER</t>
        </is>
      </c>
      <c r="H3" s="3" t="inlineStr">
        <is>
          <t>PREENCHER</t>
        </is>
      </c>
      <c r="I3" s="3" t="inlineStr">
        <is>
          <t>PREENCHER</t>
        </is>
      </c>
      <c r="J3" s="3" t="inlineStr">
        <is>
          <t>PREENCHER</t>
        </is>
      </c>
    </row>
    <row r="4">
      <c r="A4" t="inlineStr">
        <is>
          <t>A+3</t>
        </is>
      </c>
      <c r="B4" s="3" t="inlineStr">
        <is>
          <t>PREENCHER</t>
        </is>
      </c>
      <c r="C4" s="3" t="inlineStr">
        <is>
          <t>PREENCHER</t>
        </is>
      </c>
      <c r="D4" s="3" t="inlineStr">
        <is>
          <t>PREENCHER</t>
        </is>
      </c>
      <c r="E4" s="3" t="inlineStr">
        <is>
          <t>PREENCHER</t>
        </is>
      </c>
      <c r="F4" s="3" t="inlineStr">
        <is>
          <t>PREENCHER</t>
        </is>
      </c>
      <c r="G4" s="3" t="inlineStr">
        <is>
          <t>PREENCHER</t>
        </is>
      </c>
      <c r="H4" s="3" t="inlineStr">
        <is>
          <t>PREENCHER</t>
        </is>
      </c>
      <c r="I4" s="3" t="inlineStr">
        <is>
          <t>PREENCHER</t>
        </is>
      </c>
      <c r="J4" s="3" t="inlineStr">
        <is>
          <t>PREENCHER</t>
        </is>
      </c>
    </row>
    <row r="6">
      <c r="A6" t="inlineStr">
        <is>
          <t>PLD e CMO NAO sao curva forward negociada. Se usados como referencia, marque Origem=PROXY_SPOT e aplique o add-on.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</cols>
  <sheetData>
    <row r="1">
      <c r="A1" s="2" t="inlineStr">
        <is>
          <t>Item</t>
        </is>
      </c>
      <c r="B1" s="2" t="inlineStr">
        <is>
          <t>Formula / valor</t>
        </is>
      </c>
      <c r="C1" s="2" t="inlineStr">
        <is>
          <t>Unidade</t>
        </is>
      </c>
    </row>
    <row r="2">
      <c r="A2" t="inlineStr">
        <is>
          <t>Volume</t>
        </is>
      </c>
      <c r="B2" s="4">
        <f>INPUTS!B2</f>
        <v/>
      </c>
      <c r="C2" t="inlineStr">
        <is>
          <t>MWmed</t>
        </is>
      </c>
    </row>
    <row r="3">
      <c r="A3" t="inlineStr">
        <is>
          <t>Dias do periodo</t>
        </is>
      </c>
      <c r="B3" s="4">
        <f>INPUTS!B6-INPUTS!B5+1</f>
        <v/>
      </c>
      <c r="C3" t="inlineStr">
        <is>
          <t>dias</t>
        </is>
      </c>
    </row>
    <row r="4">
      <c r="A4" t="inlineStr">
        <is>
          <t>Horas do periodo</t>
        </is>
      </c>
      <c r="B4" s="4">
        <f>B3*24</f>
        <v/>
      </c>
      <c r="C4" t="inlineStr">
        <is>
          <t>h</t>
        </is>
      </c>
    </row>
    <row r="5">
      <c r="A5" t="inlineStr">
        <is>
          <t>Volume em energia</t>
        </is>
      </c>
      <c r="B5" s="4">
        <f>B2*B4</f>
        <v/>
      </c>
      <c r="C5" t="inlineStr">
        <is>
          <t>MWh</t>
        </is>
      </c>
    </row>
    <row r="6">
      <c r="A6" t="inlineStr">
        <is>
          <t>Preco de entrada</t>
        </is>
      </c>
      <c r="B6" s="4">
        <f>INPUTS!B3</f>
        <v/>
      </c>
      <c r="C6" t="inlineStr">
        <is>
          <t>R$/MWh</t>
        </is>
      </c>
    </row>
    <row r="7">
      <c r="A7" t="inlineStr">
        <is>
          <t>Notional</t>
        </is>
      </c>
      <c r="B7" s="4">
        <f>B5*B6</f>
        <v/>
      </c>
      <c r="C7" t="inlineStr">
        <is>
          <t>R$</t>
        </is>
      </c>
    </row>
    <row r="8">
      <c r="A8" t="inlineStr">
        <is>
          <t>Lado</t>
        </is>
      </c>
      <c r="B8" s="4">
        <f>INPUTS!B5</f>
        <v/>
      </c>
      <c r="C8" t="inlineStr">
        <is>
          <t>sinal</t>
        </is>
      </c>
    </row>
    <row r="9">
      <c r="A9" t="inlineStr">
        <is>
          <t>Exposicao assinada</t>
        </is>
      </c>
      <c r="B9" s="4">
        <f>B8*B5*INPUTS!B4</f>
        <v/>
      </c>
      <c r="C9" t="inlineStr">
        <is>
          <t>R$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3" customWidth="1" min="5" max="5"/>
    <col width="16" customWidth="1" min="6" max="6"/>
    <col width="46" customWidth="1" min="7" max="7"/>
  </cols>
  <sheetData>
    <row r="1">
      <c r="A1" s="2" t="inlineStr">
        <is>
          <t>Cenario</t>
        </is>
      </c>
      <c r="B1" s="2" t="inlineStr">
        <is>
          <t>Multiplicador</t>
        </is>
      </c>
      <c r="C1" s="2" t="inlineStr">
        <is>
          <t>Preco do cenario</t>
        </is>
      </c>
      <c r="D1" s="2" t="inlineStr">
        <is>
          <t>P&amp;L</t>
        </is>
      </c>
      <c r="E1" s="2" t="inlineStr">
        <is>
          <t>Probabilidade</t>
        </is>
      </c>
      <c r="F1" s="2" t="inlineStr">
        <is>
          <t>P&amp;L ponderado</t>
        </is>
      </c>
      <c r="G1" s="2" t="inlineStr">
        <is>
          <t>O que muda na tese</t>
        </is>
      </c>
    </row>
    <row r="2">
      <c r="A2" t="inlineStr">
        <is>
          <t>BASE</t>
        </is>
      </c>
      <c r="B2" s="3" t="n">
        <v>1</v>
      </c>
      <c r="C2" s="4">
        <f>INPUTS!$B$4*B2</f>
        <v/>
      </c>
      <c r="D2" s="4">
        <f>POSICAO!$B$5*(INPUTS!$B$3-C2)*INPUTS!$B$5*-1</f>
        <v/>
      </c>
      <c r="E2" s="3" t="n">
        <v>0.5</v>
      </c>
      <c r="F2" s="4">
        <f>D2*E2</f>
        <v/>
      </c>
      <c r="G2" t="inlineStr">
        <is>
          <t>Tese mantida; reavaliar na data prevista.</t>
        </is>
      </c>
    </row>
    <row r="3">
      <c r="A3" t="inlineStr">
        <is>
          <t>SECO</t>
        </is>
      </c>
      <c r="B3" s="3" t="n">
        <v>1.35</v>
      </c>
      <c r="C3" s="4">
        <f>INPUTS!$B$4*B3</f>
        <v/>
      </c>
      <c r="D3" s="4">
        <f>POSICAO!$B$5*(INPUTS!$B$3-C3)*INPUTS!$B$5*-1</f>
        <v/>
      </c>
      <c r="E3" s="3" t="n">
        <v>0.3</v>
      </c>
      <c r="F3" s="4">
        <f>D3*E3</f>
        <v/>
      </c>
      <c r="G3" t="inlineStr">
        <is>
          <t>Vendido perde; checar gatilho de saida.</t>
        </is>
      </c>
    </row>
    <row r="4">
      <c r="A4" t="inlineStr">
        <is>
          <t>UMIDO</t>
        </is>
      </c>
      <c r="B4" s="3" t="n">
        <v>0.75</v>
      </c>
      <c r="C4" s="4">
        <f>INPUTS!$B$4*B4</f>
        <v/>
      </c>
      <c r="D4" s="4">
        <f>POSICAO!$B$5*(INPUTS!$B$3-C4)*INPUTS!$B$5*-1</f>
        <v/>
      </c>
      <c r="E4" s="3" t="n">
        <v>0.2</v>
      </c>
      <c r="F4" s="4">
        <f>D4*E4</f>
        <v/>
      </c>
      <c r="G4" t="inlineStr">
        <is>
          <t>Vendido ganha; avaliar realizacao parcial.</t>
        </is>
      </c>
    </row>
    <row r="5">
      <c r="A5" t="inlineStr">
        <is>
          <t>EXTREMO</t>
        </is>
      </c>
      <c r="B5" s="3" t="n">
        <v>1.8</v>
      </c>
      <c r="C5" s="4">
        <f>INPUTS!$B$4*B5</f>
        <v/>
      </c>
      <c r="D5" s="4">
        <f>POSICAO!$B$5*(INPUTS!$B$3-C5)*INPUTS!$B$5*-1</f>
        <v/>
      </c>
      <c r="E5" s="3" t="n">
        <v>0</v>
      </c>
      <c r="F5" s="4">
        <f>D5*E5</f>
        <v/>
      </c>
      <c r="G5" t="inlineStr">
        <is>
          <t>Estresse, nao previsao: dimensiona cauda.</t>
        </is>
      </c>
    </row>
    <row r="6">
      <c r="A6" s="5" t="inlineStr">
        <is>
          <t>Esperanca (sem estresse)</t>
        </is>
      </c>
      <c r="F6" s="4">
        <f>SUM(F2:F4)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</cols>
  <sheetData>
    <row r="1">
      <c r="A1" s="2" t="inlineStr">
        <is>
          <t>Item</t>
        </is>
      </c>
      <c r="B1" s="2" t="inlineStr">
        <is>
          <t>Formula</t>
        </is>
      </c>
      <c r="C1" s="2" t="inlineStr">
        <is>
          <t>Unidade</t>
        </is>
      </c>
    </row>
    <row r="2">
      <c r="A2" t="inlineStr">
        <is>
          <t>Exposicao</t>
        </is>
      </c>
      <c r="B2" s="4">
        <f>ABS(POSICAO!B9)</f>
        <v/>
      </c>
      <c r="C2" t="inlineStr">
        <is>
          <t>R$</t>
        </is>
      </c>
    </row>
    <row r="3">
      <c r="A3" t="inlineStr">
        <is>
          <t>Volatilidade diaria</t>
        </is>
      </c>
      <c r="B3" s="4">
        <f>INPUTS!B8</f>
        <v/>
      </c>
      <c r="C3" t="inlineStr">
        <is>
          <t>fracao</t>
        </is>
      </c>
    </row>
    <row r="4">
      <c r="A4" t="inlineStr">
        <is>
          <t>z (confianca)</t>
        </is>
      </c>
      <c r="B4" s="4">
        <f>NORM.S.INV(INPUTS!B9)</f>
        <v/>
      </c>
      <c r="C4" t="inlineStr">
        <is>
          <t>-</t>
        </is>
      </c>
    </row>
    <row r="5">
      <c r="A5" t="inlineStr">
        <is>
          <t>Raiz do horizonte</t>
        </is>
      </c>
      <c r="B5" s="4">
        <f>SQRT(INPUTS!B10)</f>
        <v/>
      </c>
      <c r="C5" t="inlineStr">
        <is>
          <t>-</t>
        </is>
      </c>
    </row>
    <row r="6">
      <c r="A6" t="inlineStr">
        <is>
          <t>VaR de mercado</t>
        </is>
      </c>
      <c r="B6" s="4">
        <f>B2*B3*B4*B5</f>
        <v/>
      </c>
      <c r="C6" t="inlineStr">
        <is>
          <t>R$</t>
        </is>
      </c>
    </row>
    <row r="7">
      <c r="A7" t="inlineStr">
        <is>
          <t>Add-on de proxy</t>
        </is>
      </c>
      <c r="B7" s="4">
        <f>B2*INPUTS!B13</f>
        <v/>
      </c>
      <c r="C7" t="inlineStr">
        <is>
          <t>R$</t>
        </is>
      </c>
    </row>
    <row r="8">
      <c r="A8" t="inlineStr">
        <is>
          <t>Add-on de risco de modelo</t>
        </is>
      </c>
      <c r="B8" s="4">
        <f>B6*INPUTS!B14</f>
        <v/>
      </c>
      <c r="C8" t="inlineStr">
        <is>
          <t>R$</t>
        </is>
      </c>
    </row>
    <row r="9">
      <c r="A9" t="inlineStr">
        <is>
          <t>VaR total</t>
        </is>
      </c>
      <c r="B9" s="4">
        <f>B6+B7+B8</f>
        <v/>
      </c>
      <c r="C9" t="inlineStr">
        <is>
          <t>R$</t>
        </is>
      </c>
    </row>
    <row r="10">
      <c r="A10" t="inlineStr">
        <is>
          <t>Limite</t>
        </is>
      </c>
      <c r="B10" s="4">
        <f>INPUTS!B11</f>
        <v/>
      </c>
      <c r="C10" t="inlineStr">
        <is>
          <t>R$</t>
        </is>
      </c>
    </row>
    <row r="11">
      <c r="A11" t="inlineStr">
        <is>
          <t>Consumo do limite</t>
        </is>
      </c>
      <c r="B11" s="4">
        <f>B9/B10</f>
        <v/>
      </c>
      <c r="C11" t="inlineStr">
        <is>
          <t>fracao</t>
        </is>
      </c>
    </row>
    <row r="12">
      <c r="A12" t="inlineStr">
        <is>
          <t>Dentro do limite?</t>
        </is>
      </c>
      <c r="B12" s="4">
        <f>IF(B9&lt;=B10,"SIM","NAO — BLOQUEADA")</f>
        <v/>
      </c>
      <c r="C1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</cols>
  <sheetData>
    <row r="1">
      <c r="A1" s="2" t="inlineStr">
        <is>
          <t>Item</t>
        </is>
      </c>
      <c r="B1" s="2" t="inlineStr">
        <is>
          <t>Formula</t>
        </is>
      </c>
      <c r="C1" s="2" t="inlineStr">
        <is>
          <t>Unidade</t>
        </is>
      </c>
    </row>
    <row r="2">
      <c r="A2" t="inlineStr">
        <is>
          <t>P&amp;L esperado</t>
        </is>
      </c>
      <c r="B2" s="4">
        <f>CENARIOS_PNL!F6</f>
        <v/>
      </c>
      <c r="C2" t="inlineStr">
        <is>
          <t>R$</t>
        </is>
      </c>
    </row>
    <row r="3">
      <c r="A3" t="inlineStr">
        <is>
          <t>Data-base</t>
        </is>
      </c>
      <c r="B3" s="4">
        <f>INPUTS!B6</f>
        <v/>
      </c>
      <c r="C3" t="inlineStr">
        <is>
          <t>data</t>
        </is>
      </c>
    </row>
    <row r="4">
      <c r="A4" t="inlineStr">
        <is>
          <t>Dias ate 31/12</t>
        </is>
      </c>
      <c r="B4" s="4">
        <f>DATE(YEAR(INPUTS!B6),12,31)-INPUTS!B6</f>
        <v/>
      </c>
      <c r="C4" t="inlineStr">
        <is>
          <t>dias</t>
        </is>
      </c>
    </row>
    <row r="5">
      <c r="A5" t="inlineStr">
        <is>
          <t>Taxa anual</t>
        </is>
      </c>
      <c r="B5" s="4">
        <f>INPUTS!B12</f>
        <v/>
      </c>
      <c r="C5" t="inlineStr">
        <is>
          <t>a.a.</t>
        </is>
      </c>
    </row>
    <row r="6">
      <c r="A6" t="inlineStr">
        <is>
          <t>Fator de desconto</t>
        </is>
      </c>
      <c r="B6" s="4">
        <f>1+B5*B4/365</f>
        <v/>
      </c>
      <c r="C6" t="inlineStr">
        <is>
          <t>-</t>
        </is>
      </c>
    </row>
    <row r="7">
      <c r="A7" t="inlineStr">
        <is>
          <t>NPV ate 31/12</t>
        </is>
      </c>
      <c r="B7" s="4">
        <f>B2/B6</f>
        <v/>
      </c>
      <c r="C7" t="inlineStr">
        <is>
          <t>R$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12" customWidth="1" min="3" max="3"/>
  </cols>
  <sheetData>
    <row r="1">
      <c r="A1" s="2" t="inlineStr">
        <is>
          <t>Verificacao</t>
        </is>
      </c>
      <c r="B1" s="2" t="inlineStr">
        <is>
          <t>Resultado</t>
        </is>
      </c>
      <c r="C1" s="2" t="inlineStr">
        <is>
          <t>Esperado</t>
        </is>
      </c>
    </row>
    <row r="2">
      <c r="A2" t="inlineStr">
        <is>
          <t>Horas do periodo = 8760 ou 8784</t>
        </is>
      </c>
      <c r="B2" s="4">
        <f>IF(OR(POSICAO!B4=8760,POSICAO!B4=8784),"OK","ERRO")</f>
        <v/>
      </c>
      <c r="C2" t="inlineStr">
        <is>
          <t>OK</t>
        </is>
      </c>
    </row>
    <row r="3">
      <c r="A3" t="inlineStr">
        <is>
          <t>MWh &gt; 0</t>
        </is>
      </c>
      <c r="B3" s="4">
        <f>IF(POSICAO!B5&gt;0,"OK","ERRO")</f>
        <v/>
      </c>
      <c r="C3" t="inlineStr">
        <is>
          <t>OK</t>
        </is>
      </c>
    </row>
    <row r="4">
      <c r="A4" t="inlineStr">
        <is>
          <t>VaR total &lt;= limite</t>
        </is>
      </c>
      <c r="B4" s="4">
        <f>IF(VAR!B9&lt;=VAR!B10,"OK","ESTOUROU")</f>
        <v/>
      </c>
      <c r="C4" t="inlineStr">
        <is>
          <t>OK</t>
        </is>
      </c>
    </row>
    <row r="5">
      <c r="A5" t="inlineStr">
        <is>
          <t>Probabilidades somam 1</t>
        </is>
      </c>
      <c r="B5" s="4">
        <f>IF(ABS(SUM(CENARIOS_PNL!E2:E4)-1)&lt;0.001,"OK","ERRO")</f>
        <v/>
      </c>
      <c r="C5" t="inlineStr">
        <is>
          <t>OK</t>
        </is>
      </c>
    </row>
    <row r="6">
      <c r="A6" t="inlineStr">
        <is>
          <t>Ha 2+ cenarios hidrologicos</t>
        </is>
      </c>
      <c r="B6" s="4">
        <f>IF(COUNTA(CENARIOS_PNL!A2:A5)&gt;=2,"OK","ERRO")</f>
        <v/>
      </c>
      <c r="C6" t="inlineStr">
        <is>
          <t>OK</t>
        </is>
      </c>
    </row>
    <row r="7">
      <c r="A7" t="inlineStr">
        <is>
          <t>Fontes da curva preenchidas</t>
        </is>
      </c>
      <c r="B7" s="4">
        <f>IF(COUNTIF(FONTES_CURVA!H2:H4,"PREENCHER")=0,"OK","PENDENTE")</f>
        <v/>
      </c>
      <c r="C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2026-08-08T23:32:49Z</dcterms:created>
  <dcterms:modified xmlns:dcterms="http://purl.org/dc/terms/" xmlns:xsi="http://www.w3.org/2001/XMLSchema-instance" xsi:type="dcterms:W3CDTF">2026-08-08T23:32:49Z</dcterms:modified>
</cp:coreProperties>
</file>